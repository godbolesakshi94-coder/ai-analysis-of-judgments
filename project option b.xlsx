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Chart counts" sheetId="4" state="visible" r:id="rId4"/>
    <sheet xmlns:r="http://schemas.openxmlformats.org/officeDocument/2006/relationships" name="Vocabulari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433"/>
      <sz val="13"/>
    </font>
    <font>
      <name val="Arial"/>
      <charset val="1"/>
      <family val="0"/>
      <b val="1"/>
      <color rgb="FF1B2433"/>
      <sz val="10"/>
    </font>
    <font>
      <name val="Arial"/>
      <charset val="1"/>
      <family val="0"/>
      <color rgb="FF1B2433"/>
      <sz val="9"/>
    </font>
    <font>
      <name val="Arial"/>
      <charset val="1"/>
      <family val="0"/>
      <b val="1"/>
      <color rgb="FF1B2433"/>
      <sz val="12"/>
    </font>
    <font>
      <name val="Arial"/>
      <charset val="1"/>
      <family val="0"/>
      <b val="1"/>
      <color rgb="FF1B2433"/>
      <sz val="9"/>
    </font>
    <font>
      <name val="Arial"/>
      <charset val="1"/>
      <family val="0"/>
      <color rgb="FF666666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555555"/>
      <sz val="8"/>
    </font>
    <font>
      <name val="Arial"/>
      <charset val="1"/>
      <family val="0"/>
      <b val="1"/>
      <color rgb="FF1B2433"/>
      <sz val="11"/>
    </font>
  </fonts>
  <fills count="5">
    <fill>
      <patternFill/>
    </fill>
    <fill>
      <patternFill patternType="gray125"/>
    </fill>
    <fill>
      <patternFill patternType="solid">
        <fgColor rgb="FFFFF4CC"/>
        <bgColor rgb="FFF0F0F0"/>
      </patternFill>
    </fill>
    <fill>
      <patternFill patternType="solid">
        <fgColor rgb="FF1B2433"/>
        <bgColor rgb="FF333300"/>
      </patternFill>
    </fill>
    <fill>
      <patternFill patternType="solid">
        <fgColor rgb="FFF0F0F0"/>
        <bgColor rgb="FFFFF4CC"/>
      </patternFill>
    </fill>
  </fills>
  <borders count="2">
    <border>
      <left/>
      <right/>
      <top/>
      <bottom/>
      <diagonal/>
    </border>
    <border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top" wrapText="1"/>
    </xf>
    <xf numFmtId="0" fontId="11" fillId="4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8BA8"/>
      <rgbColor rgb="FF9999FF"/>
      <rgbColor rgb="FF993366"/>
      <rgbColor rgb="FFFFF4CC"/>
      <rgbColor rgb="FFF0F0F0"/>
      <rgbColor rgb="FF660066"/>
      <rgbColor rgb="FFFF8080"/>
      <rgbColor rgb="FF0066CC"/>
      <rgbColor rgb="FFD0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B24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7A8BA8"/>
    <outlinePr summaryBelow="1" summaryRight="1"/>
    <pageSetUpPr fitToPage="0"/>
  </sheetPr>
  <dimension ref="A1:B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120" customWidth="1" style="17" min="2" max="2"/>
  </cols>
  <sheetData>
    <row r="1"/>
    <row r="2" ht="15.75" customHeight="1" s="18">
      <c r="B2" s="19" t="inlineStr">
        <is>
          <t>Judgment Content Analysis · Dataset template</t>
        </is>
      </c>
    </row>
    <row r="3"/>
    <row r="4" ht="15" customHeight="1" s="18">
      <c r="B4" s="20" t="inlineStr">
        <is>
          <t>How to use this file</t>
        </is>
      </c>
    </row>
    <row r="5" ht="27.75" customHeight="1" s="18">
      <c r="B5" s="21" t="inlineStr">
        <is>
          <t>1. Fill the Team sheet.</t>
        </is>
      </c>
    </row>
    <row r="6" ht="27.75" customHeight="1" s="18">
      <c r="B6" s="21" t="inlineStr">
        <is>
          <t>2. In the Data sheet, enter one row per judgment starting at row 6. Row 5 is a made-up example showing the format; leave it as it is.</t>
        </is>
      </c>
    </row>
    <row r="7" ht="27.75" customHeight="1" s="18">
      <c r="B7" s="21" t="inlineStr">
        <is>
          <t>3. Pale yellow cells are yours to fill. Dropdown columns accept only the listed values (see the Vocabularies sheet). Do not add, delete or reorder columns.</t>
        </is>
      </c>
    </row>
    <row r="8" ht="27.75" customHeight="1" s="18">
      <c r="B8" s="21" t="inlineStr">
        <is>
          <t>4. When done, rename this file data.xlsx. Also save the Data sheet as data.csv (File &gt; Save As &gt; CSV). Upload both to your GitHub repository.</t>
        </is>
      </c>
    </row>
    <row r="9" ht="27.75" customHeight="1" s="18">
      <c r="B9" s="21" t="inlineStr">
        <is>
          <t>5. Read the Option 2 Guide for the column meanings, the charts, GitHub steps and the README.</t>
        </is>
      </c>
    </row>
    <row r="10" ht="27.75" customHeight="1" s="18">
      <c r="B10" s="2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7A8BA8"/>
    <outlinePr summaryBelow="1" summaryRight="1"/>
    <pageSetUpPr fitToPage="0"/>
  </sheetPr>
  <dimension ref="B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7" min="1" max="1"/>
    <col width="36" customWidth="1" style="17" min="2" max="2"/>
    <col width="90" customWidth="1" style="17" min="3" max="3"/>
  </cols>
  <sheetData>
    <row r="1"/>
    <row r="2" ht="15" customHeight="1" s="18">
      <c r="B2" s="22" t="inlineStr">
        <is>
          <t>Team information</t>
        </is>
      </c>
    </row>
    <row r="3"/>
    <row r="4" ht="30" customHeight="1" s="18">
      <c r="B4" s="23" t="inlineStr">
        <is>
          <t>Topic</t>
        </is>
      </c>
      <c r="C4" s="24" t="inlineStr">
        <is>
          <t>Evolution of Legal Ethics in the Age of Artificial Intelligence: From Traditional Professional Duties to AI Accountability</t>
        </is>
      </c>
    </row>
    <row r="5" ht="15.75" customHeight="1" s="18">
      <c r="B5" s="23" t="inlineStr">
        <is>
          <t>Court</t>
        </is>
      </c>
      <c r="C5" s="24" t="inlineStr">
        <is>
          <t>Supreme Court of India</t>
        </is>
      </c>
    </row>
    <row r="6" ht="15.75" customHeight="1" s="18">
      <c r="B6" s="23" t="inlineStr">
        <is>
          <t>Team name</t>
        </is>
      </c>
      <c r="C6" s="24" t="n"/>
    </row>
    <row r="7" ht="15.75" customHeight="1" s="18">
      <c r="B7" s="23" t="inlineStr">
        <is>
          <t>GitHub repository link</t>
        </is>
      </c>
      <c r="C7" s="24" t="inlineStr">
        <is>
          <t>https://github.com/godbolesakshi94-coder/ai-analysis-of-judgments</t>
        </is>
      </c>
    </row>
    <row r="8" ht="15.75" customHeight="1" s="18">
      <c r="B8" s="23" t="inlineStr">
        <is>
          <t>Member 1 · name and section</t>
        </is>
      </c>
      <c r="C8" s="24" t="inlineStr">
        <is>
          <t>Sakshi Godbole · PRN 23010422130 · Section: D · Contribution: selected and read cases 1 to 7, filled the Data rows for them, and made the charts from Chart counts.</t>
        </is>
      </c>
    </row>
    <row r="9" ht="15.75" customHeight="1" s="18">
      <c r="B9" s="23" t="inlineStr">
        <is>
          <t>Member 2 · name and section</t>
        </is>
      </c>
      <c r="C9" s="24" t="inlineStr">
        <is>
          <t>Gargi Lakshya Das · PRN 23010422101 · Section: D · Contribution: selected and read cases 8 to 14, filled the Data rows for them, and checked all citations and dates.</t>
        </is>
      </c>
    </row>
    <row r="10" ht="15.75" customHeight="1" s="18">
      <c r="B10" s="23" t="inlineStr">
        <is>
          <t>Member 3 · name and section (if any)</t>
        </is>
      </c>
      <c r="C10" s="24" t="inlineStr">
        <is>
          <t>Aditi Baranwal · PRN 23010422080 · Section: D · Contribution: selected and read cases 15 to 20, found official source links, and wrote the README and GitHub upload.</t>
        </is>
      </c>
    </row>
    <row r="11" ht="15.75" customHeight="1" s="18">
      <c r="B11" s="23" t="inlineStr">
        <is>
          <t>Member 4 · name and section (if any)</t>
        </is>
      </c>
      <c r="C11" s="24" t="n"/>
    </row>
    <row r="12" ht="15.75" customHeight="1" s="18">
      <c r="B12" s="23" t="inlineStr">
        <is>
          <t>Date completed (DD-MM-YYYY)</t>
        </is>
      </c>
      <c r="C12" s="24" t="inlineStr">
        <is>
          <t>29-10-2026</t>
        </is>
      </c>
    </row>
    <row r="1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A8BA8"/>
    <outlinePr summaryBelow="1" summaryRight="1"/>
    <pageSetUpPr fitToPage="0"/>
  </sheetPr>
  <dimension ref="A1:O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7" min="1" max="1"/>
    <col width="34" customWidth="1" style="17" min="2" max="2"/>
    <col width="26" customWidth="1" style="17" min="3" max="3"/>
    <col width="14" customWidth="1" style="17" min="4" max="4"/>
    <col width="7" customWidth="1" style="17" min="5" max="5"/>
    <col width="9" customWidth="1" style="17" min="6" max="6"/>
    <col width="14" customWidth="1" style="17" min="7" max="7"/>
    <col width="18" customWidth="1" style="17" min="8" max="8"/>
    <col width="13" customWidth="1" style="17" min="9" max="9"/>
    <col width="18" customWidth="1" style="17" min="10" max="10"/>
    <col width="30" customWidth="1" style="17" min="11" max="11"/>
    <col width="42" customWidth="1" style="17" min="12" max="12"/>
    <col width="52" customWidth="1" style="17" min="13" max="13"/>
    <col width="34" customWidth="1" style="17" min="14" max="14"/>
    <col width="46" customWidth="1" style="17" min="15" max="15"/>
  </cols>
  <sheetData>
    <row r="1" ht="15" customHeight="1" s="18">
      <c r="A1" s="22" t="inlineStr">
        <is>
          <t>Data · one row per judgment</t>
        </is>
      </c>
    </row>
    <row r="2" ht="15" customHeight="1" s="18">
      <c r="A2" s="25" t="inlineStr">
        <is>
          <t>Row 5 is a made-up example. Your judgments start at row 6. Enter 10 to 20 judgments decided between 01-09-2021 and 31-08-2026. See the Option 2 Guide, section 4.</t>
        </is>
      </c>
    </row>
    <row r="4" ht="30" customHeight="1" s="18">
      <c r="A4" s="26" t="inlineStr">
        <is>
          <t>#</t>
        </is>
      </c>
      <c r="B4" s="26" t="inlineStr">
        <is>
          <t>Case name</t>
        </is>
      </c>
      <c r="C4" s="26" t="inlineStr">
        <is>
          <t>Citation or case number</t>
        </is>
      </c>
      <c r="D4" s="26" t="inlineStr">
        <is>
          <t>Date of decision (DD-MM-YYYY)</t>
        </is>
      </c>
      <c r="E4" s="26" t="inlineStr">
        <is>
          <t>Year</t>
        </is>
      </c>
      <c r="F4" s="26" t="inlineStr">
        <is>
          <t>Bench strength</t>
        </is>
      </c>
      <c r="G4" s="26" t="inlineStr">
        <is>
          <t>Type of case</t>
        </is>
      </c>
      <c r="H4" s="26" t="inlineStr">
        <is>
          <t>Who brought the case</t>
        </is>
      </c>
      <c r="I4" s="26" t="inlineStr">
        <is>
          <t>Outcome</t>
        </is>
      </c>
      <c r="J4" s="26" t="inlineStr">
        <is>
          <t>Who won</t>
        </is>
      </c>
      <c r="K4" s="26" t="inlineStr">
        <is>
          <t>Main provision</t>
        </is>
      </c>
      <c r="L4" s="26" t="inlineStr">
        <is>
          <t>Issue in one line</t>
        </is>
      </c>
      <c r="M4" s="26" t="inlineStr">
        <is>
          <t>Holding in one line</t>
        </is>
      </c>
      <c r="N4" s="26" t="inlineStr">
        <is>
          <t>Precedent chiefly relied on</t>
        </is>
      </c>
      <c r="O4" s="26" t="inlineStr">
        <is>
          <t>Source link (official copy)</t>
        </is>
      </c>
    </row>
    <row r="5" ht="30" customHeight="1" s="18">
      <c r="A5" s="27" t="inlineStr">
        <is>
          <t>EX</t>
        </is>
      </c>
      <c r="B5" s="27" t="inlineStr">
        <is>
          <t>Example Petitioner v. State of Maharashtra (made-up)</t>
        </is>
      </c>
      <c r="C5" s="27" t="inlineStr">
        <is>
          <t>2024 INSC 000 (made-up)</t>
        </is>
      </c>
      <c r="D5" s="27" t="inlineStr">
        <is>
          <t>15-03-2024</t>
        </is>
      </c>
      <c r="E5" s="27" t="n">
        <v>2024</v>
      </c>
      <c r="F5" s="27" t="n">
        <v>2</v>
      </c>
      <c r="G5" s="27" t="inlineStr">
        <is>
          <t>Criminal appeal</t>
        </is>
      </c>
      <c r="H5" s="27" t="inlineStr">
        <is>
          <t>Individual</t>
        </is>
      </c>
      <c r="I5" s="27" t="inlineStr">
        <is>
          <t>Allowed</t>
        </is>
      </c>
      <c r="J5" s="27" t="inlineStr">
        <is>
          <t>Individual</t>
        </is>
      </c>
      <c r="K5" s="27" t="inlineStr">
        <is>
          <t>s 438 CrPC</t>
        </is>
      </c>
      <c r="L5" s="27" t="inlineStr">
        <is>
          <t>Whether anticipatory bail can be limited to a fixed period.</t>
        </is>
      </c>
      <c r="M5" s="27" t="inlineStr">
        <is>
          <t>Bail granted; protection ordinarily lasts till the end of trial.</t>
        </is>
      </c>
      <c r="N5" s="27" t="inlineStr">
        <is>
          <t>Sushila Aggarwal v. State (NCT of Delhi)</t>
        </is>
      </c>
      <c r="O5" s="27" t="inlineStr">
        <is>
          <t>https://www.sci.gov.in/judgement... (made-up)</t>
        </is>
      </c>
    </row>
    <row r="6" ht="63.75" customHeight="1" s="18">
      <c r="A6" s="24" t="n">
        <v>1</v>
      </c>
      <c r="B6" s="24" t="inlineStr">
        <is>
          <t>Manohar Lal Sharma v. Union of India (Pegasus case)</t>
        </is>
      </c>
      <c r="C6" s="24" t="inlineStr">
        <is>
          <t>2021 SCC OnLine SC 985; W.P.(Crl.) No. 314 of 2021</t>
        </is>
      </c>
      <c r="D6" s="24" t="inlineStr">
        <is>
          <t>27-10-2021</t>
        </is>
      </c>
      <c r="E6" s="24">
        <f>IF(D6="","",VALUE(RIGHT(D6,4)))</f>
        <v/>
      </c>
      <c r="F6" s="24" t="n">
        <v>3</v>
      </c>
      <c r="G6" s="24" t="inlineStr">
        <is>
          <t>Writ petition</t>
        </is>
      </c>
      <c r="H6" s="24" t="inlineStr">
        <is>
          <t>Individual</t>
        </is>
      </c>
      <c r="I6" s="24" t="inlineStr">
        <is>
          <t>Allowed</t>
        </is>
      </c>
      <c r="J6" s="24" t="inlineStr">
        <is>
          <t>Individual</t>
        </is>
      </c>
      <c r="K6" s="24" t="inlineStr">
        <is>
          <t>Arts. 19(1)(a), 21; Telegraph Act 1885; IT Act 2000</t>
        </is>
      </c>
      <c r="L6" s="24" t="inlineStr">
        <is>
          <t>Can alleged state spyware surveillance of citizens be probed despite a 'national security' plea?</t>
        </is>
      </c>
      <c r="M6" s="24" t="inlineStr">
        <is>
          <t>No blanket national-security shield; Court appointed an independent technical committee (Justice R.V. Raveendran) to investigate.</t>
        </is>
      </c>
      <c r="N6" s="24" t="inlineStr">
        <is>
          <t>Indian Express Newspapers (Bombay) Pvt. Ltd. v. Union of India</t>
        </is>
      </c>
      <c r="O6" s="24" t="inlineStr">
        <is>
          <t>https://future.indiankanoon.org/doc/39021018</t>
        </is>
      </c>
    </row>
    <row r="7" ht="63.75" customHeight="1" s="18">
      <c r="A7" s="24" t="n">
        <v>2</v>
      </c>
      <c r="B7" s="24" t="inlineStr">
        <is>
          <t>Syed Altaf Ahmed v. S. Suson</t>
        </is>
      </c>
      <c r="C7" s="24" t="inlineStr">
        <is>
          <t>2023 LiveLaw (SC) 767; Civil Appeal @ Diary No. 31972/2023</t>
        </is>
      </c>
      <c r="D7" s="24" t="inlineStr">
        <is>
          <t>25-08-2023</t>
        </is>
      </c>
      <c r="E7" s="24">
        <f>IF(D7="","",VALUE(RIGHT(D7,4)))</f>
        <v/>
      </c>
      <c r="F7" s="24" t="n">
        <v>2</v>
      </c>
      <c r="G7" s="24" t="inlineStr">
        <is>
          <t>Civil appeal</t>
        </is>
      </c>
      <c r="H7" s="24" t="inlineStr">
        <is>
          <t>Individual</t>
        </is>
      </c>
      <c r="I7" s="24" t="inlineStr">
        <is>
          <t>Dismissed</t>
        </is>
      </c>
      <c r="J7" s="24" t="inlineStr">
        <is>
          <t>Individual</t>
        </is>
      </c>
      <c r="K7" s="24" t="inlineStr">
        <is>
          <t>Advocates Act 1961 (s 35 misconduct; s 38 appeal); BCI Rules</t>
        </is>
      </c>
      <c r="L7" s="24" t="inlineStr">
        <is>
          <t>Is an advocate who sells a client's property under a general power of attorney, as a 'real estate agent', guilty of misconduct?</t>
        </is>
      </c>
      <c r="M7" s="24" t="inlineStr">
        <is>
          <t>Yes; BCI's five-year suspension upheld and appeal dismissed.</t>
        </is>
      </c>
      <c r="N7" s="24" t="inlineStr">
        <is>
          <t>Not identified (decided on the advocate's own admissions)</t>
        </is>
      </c>
      <c r="O7" s="24" t="inlineStr">
        <is>
          <t>https://www.livelaw.in/pdf_upload/767-syed-altaf-ahmed-v-s-suson-25-aug-2023-497011.pdf</t>
        </is>
      </c>
    </row>
    <row r="8" ht="63.75" customHeight="1" s="18">
      <c r="A8" s="24" t="n">
        <v>3</v>
      </c>
      <c r="B8" s="24" t="inlineStr">
        <is>
          <t>Bar of Indian Lawyers v. D.K. Gandhi PS National Institute of Communicable Diseases</t>
        </is>
      </c>
      <c r="C8" s="24" t="inlineStr">
        <is>
          <t>2024 INSC 410; Civil Appeal No. 2646 of 2009</t>
        </is>
      </c>
      <c r="D8" s="24" t="inlineStr">
        <is>
          <t>14-05-2024</t>
        </is>
      </c>
      <c r="E8" s="24">
        <f>IF(D8="","",VALUE(RIGHT(D8,4)))</f>
        <v/>
      </c>
      <c r="F8" s="24" t="n">
        <v>2</v>
      </c>
      <c r="G8" s="24" t="inlineStr">
        <is>
          <t>Civil appeal</t>
        </is>
      </c>
      <c r="H8" s="24" t="inlineStr">
        <is>
          <t>Association or NGO</t>
        </is>
      </c>
      <c r="I8" s="24" t="inlineStr">
        <is>
          <t>Allowed</t>
        </is>
      </c>
      <c r="J8" s="24" t="inlineStr">
        <is>
          <t>Association or NGO</t>
        </is>
      </c>
      <c r="K8" s="24" t="inlineStr">
        <is>
          <t>Consumer Protection Act 1986 s 2(o) / 2019 Act s 2(42)</t>
        </is>
      </c>
      <c r="L8" s="24" t="inlineStr">
        <is>
          <t>Are advocates' services 'service' under the Consumer Protection Act, so clients can sue for deficiency?</t>
        </is>
      </c>
      <c r="M8" s="24" t="inlineStr">
        <is>
          <t>No; advocacy is a contract of personal service, so complaints against advocates are not maintainable; NCDRC's contrary 2007 view overruled.</t>
        </is>
      </c>
      <c r="N8" s="24" t="inlineStr">
        <is>
          <t>Indian Medical Association v. V.P. Shantha (1995) 6 SCC 651 (reference for reconsideration suggested)</t>
        </is>
      </c>
      <c r="O8" s="24" t="inlineStr">
        <is>
          <t>https://ksandk.com/wp-content/uploads/277512007_2024-05-14.pdf</t>
        </is>
      </c>
    </row>
    <row r="9" ht="63.75" customHeight="1" s="18">
      <c r="A9" s="24" t="n">
        <v>4</v>
      </c>
      <c r="B9" s="24" t="inlineStr">
        <is>
          <t>Gaurav Kumar v. Union of India</t>
        </is>
      </c>
      <c r="C9" s="24" t="inlineStr">
        <is>
          <t>2024 INSC 558; W.P.(C) No. 352 of 2023</t>
        </is>
      </c>
      <c r="D9" s="24" t="inlineStr">
        <is>
          <t>30-07-2024</t>
        </is>
      </c>
      <c r="E9" s="24">
        <f>IF(D9="","",VALUE(RIGHT(D9,4)))</f>
        <v/>
      </c>
      <c r="F9" s="24" t="n">
        <v>2</v>
      </c>
      <c r="G9" s="24" t="inlineStr">
        <is>
          <t>Writ petition</t>
        </is>
      </c>
      <c r="H9" s="24" t="inlineStr">
        <is>
          <t>Individual</t>
        </is>
      </c>
      <c r="I9" s="24" t="inlineStr">
        <is>
          <t>Allowed</t>
        </is>
      </c>
      <c r="J9" s="24" t="inlineStr">
        <is>
          <t>Individual</t>
        </is>
      </c>
      <c r="K9" s="24" t="inlineStr">
        <is>
          <t>Advocates Act 1961 s 24(1)(f); Art. 14</t>
        </is>
      </c>
      <c r="L9" s="24" t="inlineStr">
        <is>
          <t>Can State Bar Councils / BCI charge enrolment fees beyond the amount fixed in s 24(1)(f)?</t>
        </is>
      </c>
      <c r="M9" s="24" t="inlineStr">
        <is>
          <t>No; fees capped at Rs 750 (general) and Rs 125 (SC/ST); excess charges manifestly arbitrary; ruling prospective.</t>
        </is>
      </c>
      <c r="N9" s="24" t="inlineStr">
        <is>
          <t>Not identified (decided on the text of s 24(1)(f))</t>
        </is>
      </c>
      <c r="O9" s="24" t="inlineStr">
        <is>
          <t>https://api.sci.gov.in/supremecourt/2023/8409/8409_2023_1_1501_54239_Judgement_30-Jul-2024.pdf</t>
        </is>
      </c>
    </row>
    <row r="10" ht="63.75" customHeight="1" s="18">
      <c r="A10" s="24" t="n">
        <v>5</v>
      </c>
      <c r="B10" s="24" t="inlineStr">
        <is>
          <t>Ismailbhai Hatubhai Patel v. State of Gujarat</t>
        </is>
      </c>
      <c r="C10" s="24" t="inlineStr">
        <is>
          <t>Criminal Appeal No. 661 of 2025; 2025 LiveLaw (SC) 267</t>
        </is>
      </c>
      <c r="D10" s="24" t="inlineStr">
        <is>
          <t>27-02-2025</t>
        </is>
      </c>
      <c r="E10" s="24">
        <f>IF(D10="","",VALUE(RIGHT(D10,4)))</f>
        <v/>
      </c>
      <c r="F10" s="24" t="n">
        <v>2</v>
      </c>
      <c r="G10" s="24" t="inlineStr">
        <is>
          <t>Criminal appeal</t>
        </is>
      </c>
      <c r="H10" s="24" t="inlineStr">
        <is>
          <t>Individual</t>
        </is>
      </c>
      <c r="I10" s="24" t="inlineStr">
        <is>
          <t>Allowed</t>
        </is>
      </c>
      <c r="J10" s="24" t="inlineStr">
        <is>
          <t>Individual</t>
        </is>
      </c>
      <c r="K10" s="24" t="inlineStr">
        <is>
          <t>IPC ss 420, 465-471, 120B (discharge of advocate)</t>
        </is>
      </c>
      <c r="L10" s="24" t="inlineStr">
        <is>
          <t>Can an advocate be criminally charged merely for not verifying a client's power of attorney?</t>
        </is>
      </c>
      <c r="M10" s="24" t="inlineStr">
        <is>
          <t>No; absent reasonable doubt an advocate need not verify the PoA's genuineness; advocate discharged.</t>
        </is>
      </c>
      <c r="N10" s="24" t="inlineStr">
        <is>
          <t>Not identified (decided on charge-sheet facts)</t>
        </is>
      </c>
      <c r="O10" s="24" t="inlineStr">
        <is>
          <t>https://s3.courtbook.in/2025/03/Ismailbhai-Hatubhai-Patel-vs-The-State-of-Gujarat.pdf</t>
        </is>
      </c>
    </row>
    <row r="11" ht="63.75" customHeight="1" s="18">
      <c r="A11" s="24" t="n">
        <v>6</v>
      </c>
      <c r="B11" s="24" t="inlineStr">
        <is>
          <t>Supreme Court Bar Association v. State of Uttar Pradesh</t>
        </is>
      </c>
      <c r="C11" s="24" t="inlineStr">
        <is>
          <t>2025 INSC 364; M.A. Nos. 3-4 of 2025 in Crl. A. Nos. 3883-3884 of 2024</t>
        </is>
      </c>
      <c r="D11" s="24" t="inlineStr">
        <is>
          <t>19-03-2025</t>
        </is>
      </c>
      <c r="E11" s="24">
        <f>IF(D11="","",VALUE(RIGHT(D11,4)))</f>
        <v/>
      </c>
      <c r="F11" s="24" t="n">
        <v>2</v>
      </c>
      <c r="G11" s="24" t="inlineStr">
        <is>
          <t>Other</t>
        </is>
      </c>
      <c r="H11" s="24" t="inlineStr">
        <is>
          <t>Association or NGO</t>
        </is>
      </c>
      <c r="I11" s="24" t="inlineStr">
        <is>
          <t>Partly allowed</t>
        </is>
      </c>
      <c r="J11" s="24" t="inlineStr">
        <is>
          <t>Mixed or unclear</t>
        </is>
      </c>
      <c r="K11" s="24" t="inlineStr">
        <is>
          <t>Supreme Court Rules 2013 (Art. 145); Advocates Act 1961</t>
        </is>
      </c>
      <c r="L11" s="24" t="inlineStr">
        <is>
          <t>Can appearances be marked for advocates who do not actually participate in the hearing?</t>
        </is>
      </c>
      <c r="M11" s="24" t="inlineStr">
        <is>
          <t>An advocate's right to appear carries a duty to be present and participate diligently; Rules bar marking of non-participating counsel; earlier directions modified.</t>
        </is>
      </c>
      <c r="N11" s="24" t="inlineStr">
        <is>
          <t>Supreme Court Bar Association v. B.D. Kaushik (2011) 13 SCC 774</t>
        </is>
      </c>
      <c r="O11" s="24" t="inlineStr">
        <is>
          <t>https://orderlawstorage.blob.core.windows.net/judgements/supreme_court/2025/2025_3_821_840_EN.pdf</t>
        </is>
      </c>
    </row>
    <row r="12" ht="63.75" customHeight="1" s="18">
      <c r="A12" s="24" t="n">
        <v>7</v>
      </c>
      <c r="B12" s="24" t="inlineStr">
        <is>
          <t>N. Eswaranathan v. State represented by the Deputy Superintendent of Police</t>
        </is>
      </c>
      <c r="C12" s="24" t="inlineStr">
        <is>
          <t>2025 INSC 509; SLP (Crl.) Diary No. 55057 of 2024</t>
        </is>
      </c>
      <c r="D12" s="24" t="inlineStr">
        <is>
          <t>17-04-2025</t>
        </is>
      </c>
      <c r="E12" s="24">
        <f>IF(D12="","",VALUE(RIGHT(D12,4)))</f>
        <v/>
      </c>
      <c r="F12" s="24" t="n">
        <v>2</v>
      </c>
      <c r="G12" s="24" t="inlineStr">
        <is>
          <t>SLP</t>
        </is>
      </c>
      <c r="H12" s="24" t="inlineStr">
        <is>
          <t>Individual</t>
        </is>
      </c>
      <c r="I12" s="24" t="inlineStr">
        <is>
          <t>Other</t>
        </is>
      </c>
      <c r="J12" s="24" t="inlineStr">
        <is>
          <t>Mixed or unclear</t>
        </is>
      </c>
      <c r="K12" s="24" t="inlineStr">
        <is>
          <t>Advocates Act 1961 (misconduct); Supreme Court Rules 2013 (AoR)</t>
        </is>
      </c>
      <c r="L12" s="24" t="inlineStr">
        <is>
          <t>Should an AoR and advocate be punished for filing a second SLP with misleading statements after the first was dismissed?</t>
        </is>
      </c>
      <c r="M12" s="24" t="inlineStr">
        <is>
          <t>Split verdict (Trivedi J.: one-month AoR suspension and costs; Sharma J.: accept apology); referred to the CJI; a later bench ruled in favour of the AoR.</t>
        </is>
      </c>
      <c r="N12" s="24" t="inlineStr">
        <is>
          <t>Not identified</t>
        </is>
      </c>
      <c r="O12" s="24" t="inlineStr">
        <is>
          <t>https://api.sci.gov.in/supremecourt/2024/55057/55057_2024_9_1501_61000_Judgement_17-Apr-2025.pdf</t>
        </is>
      </c>
    </row>
    <row r="13" ht="63.75" customHeight="1" s="18">
      <c r="A13" s="24" t="n">
        <v>8</v>
      </c>
      <c r="B13" s="24" t="inlineStr">
        <is>
          <t>Amar Jain v. Union of India (with Pragya Prasun v. Union of India)</t>
        </is>
      </c>
      <c r="C13" s="24" t="inlineStr">
        <is>
          <t>2025 INSC 599; W.P.(C) No. 49 of 2025 and 289 of 2024</t>
        </is>
      </c>
      <c r="D13" s="24" t="inlineStr">
        <is>
          <t>30-04-2025</t>
        </is>
      </c>
      <c r="E13" s="24">
        <f>IF(D13="","",VALUE(RIGHT(D13,4)))</f>
        <v/>
      </c>
      <c r="F13" s="24" t="n">
        <v>2</v>
      </c>
      <c r="G13" s="24" t="inlineStr">
        <is>
          <t>Writ petition</t>
        </is>
      </c>
      <c r="H13" s="24" t="inlineStr">
        <is>
          <t>Individual</t>
        </is>
      </c>
      <c r="I13" s="24" t="inlineStr">
        <is>
          <t>Allowed</t>
        </is>
      </c>
      <c r="J13" s="24" t="inlineStr">
        <is>
          <t>Individual</t>
        </is>
      </c>
      <c r="K13" s="24" t="inlineStr">
        <is>
          <t>Arts. 14, 21; RPwD Act 2016; KYC / PMLA norms</t>
        </is>
      </c>
      <c r="L13" s="24" t="inlineStr">
        <is>
          <t>Does the right to life include digital access, so that 'liveness' e-KYC must be accessible to disabled persons?</t>
        </is>
      </c>
      <c r="M13" s="24" t="inlineStr">
        <is>
          <t>Yes; digital access is part of Art. 21 and the Court issued 20 directions to make e-KYC inclusive.</t>
        </is>
      </c>
      <c r="N13" s="24" t="inlineStr">
        <is>
          <t>Vikash Kumar v. UPSC (2021) 5 SCC 370</t>
        </is>
      </c>
      <c r="O13" s="24" t="inlineStr">
        <is>
          <t>https://www.livelaw.in/amp/supreme-court/right-to-digital-access-part-of-article-21-supreme-court-directs-to-make-ekyc-process-accessible-to-persons-with-disabilities-290778</t>
        </is>
      </c>
    </row>
    <row r="14" ht="63.75" customHeight="1" s="18">
      <c r="A14" s="24" t="n">
        <v>9</v>
      </c>
      <c r="B14" s="24" t="inlineStr">
        <is>
          <t>Jitender @ Kalla v. State (Govt. of NCT of Delhi)</t>
        </is>
      </c>
      <c r="C14" s="24" t="inlineStr">
        <is>
          <t>2025 INSC 667; Criminal Appeal No. 865 of 2025 with W.P.(C) No. 454 of 2015</t>
        </is>
      </c>
      <c r="D14" s="24" t="inlineStr">
        <is>
          <t>13-05-2025</t>
        </is>
      </c>
      <c r="E14" s="24">
        <f>IF(D14="","",VALUE(RIGHT(D14,4)))</f>
        <v/>
      </c>
      <c r="F14" s="24" t="n">
        <v>3</v>
      </c>
      <c r="G14" s="24" t="inlineStr">
        <is>
          <t>Criminal appeal</t>
        </is>
      </c>
      <c r="H14" s="24" t="inlineStr">
        <is>
          <t>Individual</t>
        </is>
      </c>
      <c r="I14" s="24" t="inlineStr">
        <is>
          <t>Other</t>
        </is>
      </c>
      <c r="J14" s="24" t="inlineStr">
        <is>
          <t>Mixed or unclear</t>
        </is>
      </c>
      <c r="K14" s="24" t="inlineStr">
        <is>
          <t>Advocates Act 1961 s 16(2)</t>
        </is>
      </c>
      <c r="L14" s="24" t="inlineStr">
        <is>
          <t>Is the 100-point, interview-based system for designating Senior Advocates workable and fair?</t>
        </is>
      </c>
      <c r="M14" s="24" t="inlineStr">
        <is>
          <t>Point system and interviews scrapped; Full Court decides holistically on ability, standing at the Bar (integrity, ethics) and special knowledge.</t>
        </is>
      </c>
      <c r="N14" s="24" t="inlineStr">
        <is>
          <t>Indira Jaising v. Supreme Court of India (2017) 9 SCC 766 and (2023) 8 SCC 1</t>
        </is>
      </c>
      <c r="O14" s="24" t="inlineStr">
        <is>
          <t>https://api.sci.gov.in/supremecourt/2024/12735/12735_2024_4_1501_61744_Judgement_13-May-2025.pdf</t>
        </is>
      </c>
    </row>
    <row r="15" ht="63.75" customHeight="1" s="18">
      <c r="A15" s="24" t="n">
        <v>10</v>
      </c>
      <c r="B15" s="24" t="inlineStr">
        <is>
          <t>Bipin Bihari Sinha @ Bipin Prasad Singh v. Harish Jaiswal</t>
        </is>
      </c>
      <c r="C15" s="24" t="inlineStr">
        <is>
          <t>M.A. Diary No. 7144/2025 in Civil Appeal No. 14414 of 2024</t>
        </is>
      </c>
      <c r="D15" s="24" t="inlineStr">
        <is>
          <t>13-05-2025</t>
        </is>
      </c>
      <c r="E15" s="24">
        <f>IF(D15="","",VALUE(RIGHT(D15,4)))</f>
        <v/>
      </c>
      <c r="F15" s="24" t="n">
        <v>2</v>
      </c>
      <c r="G15" s="24" t="inlineStr">
        <is>
          <t>Other</t>
        </is>
      </c>
      <c r="H15" s="24" t="inlineStr">
        <is>
          <t>Individual</t>
        </is>
      </c>
      <c r="I15" s="24" t="inlineStr">
        <is>
          <t>Allowed</t>
        </is>
      </c>
      <c r="J15" s="24" t="inlineStr">
        <is>
          <t>Individual</t>
        </is>
      </c>
      <c r="K15" s="24" t="inlineStr">
        <is>
          <t>Court's inherent powers (recall); Advocates Act 1961 (misconduct)</t>
        </is>
      </c>
      <c r="L15" s="24" t="inlineStr">
        <is>
          <t>Was a consent order obtained through a forged settlement and unauthorised advocate appearances?</t>
        </is>
      </c>
      <c r="M15" s="24" t="inlineStr">
        <is>
          <t>Settlement-based order recalled; Bar Council of India directed to inquire into the advocates' role (follow-up order of Aug 2025 fixed the report timeline).</t>
        </is>
      </c>
      <c r="N15" s="24" t="inlineStr">
        <is>
          <t>Not identified</t>
        </is>
      </c>
      <c r="O15" s="24" t="inlineStr">
        <is>
          <t>https://api.sci.gov.in/supremecourt/2025/7144/7144_2025_11_11_61750_Order_13-May-2025.pdf</t>
        </is>
      </c>
    </row>
    <row r="16" ht="63.75" customHeight="1" s="18">
      <c r="A16" s="24" t="n">
        <v>11</v>
      </c>
      <c r="B16" s="24" t="inlineStr">
        <is>
          <t>R. Karmegam v. Hariharasudan</t>
        </is>
      </c>
      <c r="C16" s="24" t="inlineStr">
        <is>
          <t>Civil Appeal No. 7096 of 2025 (Diary No. 28536/2025)</t>
        </is>
      </c>
      <c r="D16" s="24" t="inlineStr">
        <is>
          <t>26-05-2025</t>
        </is>
      </c>
      <c r="E16" s="24">
        <f>IF(D16="","",VALUE(RIGHT(D16,4)))</f>
        <v/>
      </c>
      <c r="F16" s="24" t="n">
        <v>2</v>
      </c>
      <c r="G16" s="24" t="inlineStr">
        <is>
          <t>Civil appeal</t>
        </is>
      </c>
      <c r="H16" s="24" t="inlineStr">
        <is>
          <t>Individual</t>
        </is>
      </c>
      <c r="I16" s="24" t="inlineStr">
        <is>
          <t>Dismissed</t>
        </is>
      </c>
      <c r="J16" s="24" t="inlineStr">
        <is>
          <t>Individual</t>
        </is>
      </c>
      <c r="K16" s="24" t="inlineStr">
        <is>
          <t>Advocates Act 1961 (s 35 misconduct; BCI disciplinary order)</t>
        </is>
      </c>
      <c r="L16" s="24" t="inlineStr">
        <is>
          <t>Could BCI raise an advocate's one-year suspension to seven years after he practised during the suspension?</t>
        </is>
      </c>
      <c r="M16" s="24" t="inlineStr">
        <is>
          <t>Appeal dismissed; seven-year suspension upheld because lawyers must stay disciplined and not harm the profession's image.</t>
        </is>
      </c>
      <c r="N16" s="24" t="inlineStr">
        <is>
          <t>Not identified</t>
        </is>
      </c>
      <c r="O16" s="24" t="inlineStr">
        <is>
          <t>https://www.livelaw.in/top-stories/supreme-court-upholds-advocate-license-suspension-bar-council-of-india-293411</t>
        </is>
      </c>
    </row>
    <row r="17" ht="63.75" customHeight="1" s="18">
      <c r="A17" s="24" t="n">
        <v>12</v>
      </c>
      <c r="B17" s="24" t="inlineStr">
        <is>
          <t>Orissa High Court v. Banshidhar Baug</t>
        </is>
      </c>
      <c r="C17" s="24" t="inlineStr">
        <is>
          <t>2025 INSC 839; SLP (C) Nos. 11605-11606 of 2021</t>
        </is>
      </c>
      <c r="D17" s="24" t="inlineStr">
        <is>
          <t>14-07-2025</t>
        </is>
      </c>
      <c r="E17" s="24">
        <f>IF(D17="","",VALUE(RIGHT(D17,4)))</f>
        <v/>
      </c>
      <c r="F17" s="24" t="n">
        <v>2</v>
      </c>
      <c r="G17" s="24" t="inlineStr">
        <is>
          <t>SLP</t>
        </is>
      </c>
      <c r="H17" s="24" t="inlineStr">
        <is>
          <t>State or public body</t>
        </is>
      </c>
      <c r="I17" s="24" t="inlineStr">
        <is>
          <t>Allowed</t>
        </is>
      </c>
      <c r="J17" s="24" t="inlineStr">
        <is>
          <t>State or public body</t>
        </is>
      </c>
      <c r="K17" s="24" t="inlineStr">
        <is>
          <t>Advocates Act 1961 s 16(2); Orissa HC (Designation of Senior Advocate) Rules 2019 r 6(9)</t>
        </is>
      </c>
      <c r="L17" s="24" t="inlineStr">
        <is>
          <t>Can a High Court's Full Court designate Senior Advocates suo motu?</t>
        </is>
      </c>
      <c r="M17" s="24" t="inlineStr">
        <is>
          <t>Yes; HC order striking down r 6(9) set aside; the five designations stand; designation is a privilege, not an entitlement.</t>
        </is>
      </c>
      <c r="N17" s="24" t="inlineStr">
        <is>
          <t>Jitender @ Kalla v. State (NCT of Delhi), 2025 INSC 667</t>
        </is>
      </c>
      <c r="O17" s="24" t="inlineStr">
        <is>
          <t>https://api.sci.gov.in/supremecourt/2021/16331/16331_2021_9_1504_62294_Judgement_14-Jul-2025.pdf</t>
        </is>
      </c>
    </row>
    <row r="18" ht="63.75" customHeight="1" s="18">
      <c r="A18" s="24" t="n">
        <v>13</v>
      </c>
      <c r="B18" s="24" t="inlineStr">
        <is>
          <t>Manoj Kumar Sharma v. Priyanka Bansal</t>
        </is>
      </c>
      <c r="C18" s="24" t="inlineStr">
        <is>
          <t>2025 SCC OnLine SC 2076; Civil Appeal No. 6679 of 2024</t>
        </is>
      </c>
      <c r="D18" s="24" t="inlineStr">
        <is>
          <t>12-09-2025</t>
        </is>
      </c>
      <c r="E18" s="24">
        <f>IF(D18="","",VALUE(RIGHT(D18,4)))</f>
        <v/>
      </c>
      <c r="F18" s="24" t="n">
        <v>2</v>
      </c>
      <c r="G18" s="24" t="inlineStr">
        <is>
          <t>Civil appeal</t>
        </is>
      </c>
      <c r="H18" s="24" t="inlineStr">
        <is>
          <t>Individual</t>
        </is>
      </c>
      <c r="I18" s="24" t="inlineStr">
        <is>
          <t>Dismissed</t>
        </is>
      </c>
      <c r="J18" s="24" t="inlineStr">
        <is>
          <t>Individual</t>
        </is>
      </c>
      <c r="K18" s="24" t="inlineStr">
        <is>
          <t>Advocates Act 1961 (s 35 misconduct; s 38 appeal)</t>
        </is>
      </c>
      <c r="L18" s="24" t="inlineStr">
        <is>
          <t>Should the BCI's three-year suspension of an advocate for repeated scandalous allegations against a complainant be reduced?</t>
        </is>
      </c>
      <c r="M18" s="24" t="inlineStr">
        <is>
          <t>No; appeal dismissed with Rs 1 lakh costs; suspension upheld and licence not to be renewed without Court's leave.</t>
        </is>
      </c>
      <c r="N18" s="24" t="inlineStr">
        <is>
          <t>Not identified</t>
        </is>
      </c>
      <c r="O18" s="24" t="inlineStr">
        <is>
          <t>https://www.scconline.com/blog/post/2025/09/25/supreme-court-advocate-suspensionfor-3-years-misconduct-license-renewal-barred/</t>
        </is>
      </c>
    </row>
    <row r="19" ht="63.75" customHeight="1" s="18">
      <c r="A19" s="24" t="n">
        <v>14</v>
      </c>
      <c r="B19" s="24" t="inlineStr">
        <is>
          <t>Bar Council of Maharashtra and Goa v. Rajiv Nareshchandra Narula</t>
        </is>
      </c>
      <c r="C19" s="24" t="inlineStr">
        <is>
          <t>2025 INSC 1147</t>
        </is>
      </c>
      <c r="D19" s="24" t="inlineStr">
        <is>
          <t>24-09-2025</t>
        </is>
      </c>
      <c r="E19" s="24">
        <f>IF(D19="","",VALUE(RIGHT(D19,4)))</f>
        <v/>
      </c>
      <c r="F19" s="24" t="n">
        <v>2</v>
      </c>
      <c r="G19" s="24" t="inlineStr">
        <is>
          <t>Civil appeal</t>
        </is>
      </c>
      <c r="H19" s="24" t="inlineStr">
        <is>
          <t>State or public body</t>
        </is>
      </c>
      <c r="I19" s="24" t="inlineStr">
        <is>
          <t>Dismissed</t>
        </is>
      </c>
      <c r="J19" s="24" t="inlineStr">
        <is>
          <t>Individual</t>
        </is>
      </c>
      <c r="K19" s="24" t="inlineStr">
        <is>
          <t>Advocates Act 1961 s 35</t>
        </is>
      </c>
      <c r="L19" s="24" t="inlineStr">
        <is>
          <t>Must a State Bar Council record reasons to believe misconduct before referring a complaint to its Disciplinary Committee?</t>
        </is>
      </c>
      <c r="M19" s="24" t="inlineStr">
        <is>
          <t>Yes; a cryptic reference is invalid; proceedings quashed and Rs 50,000 costs imposed on the Bar Council.</t>
        </is>
      </c>
      <c r="N19" s="24" t="inlineStr">
        <is>
          <t>Not identified (s 35 scheme)</t>
        </is>
      </c>
      <c r="O19" s="24" t="inlineStr">
        <is>
          <t>https://www.verdictum.in/app-lite/pdf_upload/bar-council-of-goa-and-maharashtra-vs-rajiv-nareshchandra-narula-ors-1745953.pdf</t>
        </is>
      </c>
    </row>
    <row r="20" ht="63.75" customHeight="1" s="18">
      <c r="A20" s="24" t="n">
        <v>15</v>
      </c>
      <c r="B20" s="24" t="inlineStr">
        <is>
          <t>State Election Commission v. Shakti Singh Barthwal</t>
        </is>
      </c>
      <c r="C20" s="24" t="inlineStr">
        <is>
          <t>2025 INSC 1261; M.A. No. 1901 of 2025 in SLP (C) No. 27946 of 2025</t>
        </is>
      </c>
      <c r="D20" s="24" t="inlineStr">
        <is>
          <t>28-10-2025</t>
        </is>
      </c>
      <c r="E20" s="24">
        <f>IF(D20="","",VALUE(RIGHT(D20,4)))</f>
        <v/>
      </c>
      <c r="F20" s="24" t="n">
        <v>2</v>
      </c>
      <c r="G20" s="24" t="inlineStr">
        <is>
          <t>Other</t>
        </is>
      </c>
      <c r="H20" s="24" t="inlineStr">
        <is>
          <t>State or public body</t>
        </is>
      </c>
      <c r="I20" s="24" t="inlineStr">
        <is>
          <t>Allowed</t>
        </is>
      </c>
      <c r="J20" s="24" t="inlineStr">
        <is>
          <t>State or public body</t>
        </is>
      </c>
      <c r="K20" s="24" t="inlineStr">
        <is>
          <t>Court's inherent powers (modification of order); advocate's duty of decorum</t>
        </is>
      </c>
      <c r="L20" s="24" t="inlineStr">
        <is>
          <t>After an advocate persisted in arguing despite the Bench's indication, should adverse remarks and Rs 2 lakh costs stand?</t>
        </is>
      </c>
      <c r="M20" s="24" t="inlineStr">
        <is>
          <t>Counsel must stop once the Court indicates its mind; given the apology, remarks and costs were deleted, with a caution.</t>
        </is>
      </c>
      <c r="N20" s="24" t="inlineStr">
        <is>
          <t>Not identified</t>
        </is>
      </c>
      <c r="O20" s="24" t="inlineStr">
        <is>
          <t>https://api.sci.gov.in/supremecourt/2025/57540/57540_2025_5_1501_65175_Judgement_28-Oct-2025.pdf</t>
        </is>
      </c>
    </row>
    <row r="21" ht="63.75" customHeight="1" s="18">
      <c r="A21" s="24" t="n">
        <v>16</v>
      </c>
      <c r="B21" s="24" t="inlineStr">
        <is>
          <t>In Re: Summoning Advocates Who Give Legal Opinion or Represent Parties During Investigation of Cases</t>
        </is>
      </c>
      <c r="C21" s="24" t="inlineStr">
        <is>
          <t>2025 INSC 1275; Suo Motu W.P.(Crl.) No. 2 of 2025</t>
        </is>
      </c>
      <c r="D21" s="24" t="inlineStr">
        <is>
          <t>31-10-2025</t>
        </is>
      </c>
      <c r="E21" s="24">
        <f>IF(D21="","",VALUE(RIGHT(D21,4)))</f>
        <v/>
      </c>
      <c r="F21" s="24" t="n">
        <v>3</v>
      </c>
      <c r="G21" s="24" t="inlineStr">
        <is>
          <t>Other</t>
        </is>
      </c>
      <c r="H21" s="24" t="inlineStr">
        <is>
          <t>Other</t>
        </is>
      </c>
      <c r="I21" s="24" t="inlineStr">
        <is>
          <t>Other</t>
        </is>
      </c>
      <c r="J21" s="24" t="inlineStr">
        <is>
          <t>Mixed or unclear</t>
        </is>
      </c>
      <c r="K21" s="24" t="inlineStr">
        <is>
          <t>Bharatiya Sakshya Adhiniyam 2023 ss 132, 134; BNSS</t>
        </is>
      </c>
      <c r="L21" s="24" t="inlineStr">
        <is>
          <t>Can investigating agencies summon advocates for legal advice given or representation of clients?</t>
        </is>
      </c>
      <c r="M21" s="24" t="inlineStr">
        <is>
          <t>Not directly, except under s 132 exceptions; summons needs SP-level approval and judicial review; in-house counsel not covered by s 132 privilege.</t>
        </is>
      </c>
      <c r="N21" s="24" t="inlineStr">
        <is>
          <t>Jacob Mathew v. State of Punjab (2005) 6 SCC 1</t>
        </is>
      </c>
      <c r="O21" s="24" t="inlineStr">
        <is>
          <t>https://www.livelaw.in/sc-judgments/2025-livelaw-sc-1051-in-re-summoning-advocates-who-give-legal-opinion-or-represent-parties-during-investigation-of-cases-and-related-issues-308445</t>
        </is>
      </c>
    </row>
    <row r="22" ht="63.75" customHeight="1" s="18">
      <c r="A22" s="24" t="n">
        <v>17</v>
      </c>
      <c r="B22" s="24" t="inlineStr">
        <is>
          <t>Monty Goyal v. Navrang Singh</t>
        </is>
      </c>
      <c r="C22" s="24" t="inlineStr">
        <is>
          <t>2026 LiveLaw (SC) 91; Civil Appeal No. 77 of 2026</t>
        </is>
      </c>
      <c r="D22" s="24" t="inlineStr">
        <is>
          <t>29-01-2026</t>
        </is>
      </c>
      <c r="E22" s="24">
        <f>IF(D22="","",VALUE(RIGHT(D22,4)))</f>
        <v/>
      </c>
      <c r="F22" s="24" t="n">
        <v>2</v>
      </c>
      <c r="G22" s="24" t="inlineStr">
        <is>
          <t>Civil appeal</t>
        </is>
      </c>
      <c r="H22" s="24" t="inlineStr">
        <is>
          <t>Individual</t>
        </is>
      </c>
      <c r="I22" s="24" t="inlineStr">
        <is>
          <t>Allowed</t>
        </is>
      </c>
      <c r="J22" s="24" t="inlineStr">
        <is>
          <t>Individual</t>
        </is>
      </c>
      <c r="K22" s="24" t="inlineStr">
        <is>
          <t>Advocates Act 1961 ss 35, 38</t>
        </is>
      </c>
      <c r="L22" s="24" t="inlineStr">
        <is>
          <t>Can a Disciplinary Committee find misconduct after the complainant withdrew the complaint and gave no evidence?</t>
        </is>
      </c>
      <c r="M22" s="24" t="inlineStr">
        <is>
          <t>No; the BCI order was set aside because findings rested on bald allegations without evidence or cross-examination.</t>
        </is>
      </c>
      <c r="N22" s="24" t="inlineStr">
        <is>
          <t>Not identified</t>
        </is>
      </c>
      <c r="O22" s="24" t="inlineStr">
        <is>
          <t>https://www.livelaw.in/pdf_upload/2026/03/03/2026-livelaw-sc-91-monty-goyal-v-navrang-singh-29-jan-2026-659452.pdf</t>
        </is>
      </c>
    </row>
    <row r="23" ht="63.75" customHeight="1" s="18">
      <c r="A23" s="24" t="n">
        <v>18</v>
      </c>
      <c r="B23" s="24" t="inlineStr">
        <is>
          <t>Gummadi Usha Rani v. Sure Mallikarjuna Rao</t>
        </is>
      </c>
      <c r="C23" s="24" t="inlineStr">
        <is>
          <t>2026 SCC OnLine SC 341; SLP (C) No. 7575 of 2026</t>
        </is>
      </c>
      <c r="D23" s="24" t="inlineStr">
        <is>
          <t>27-02-2026</t>
        </is>
      </c>
      <c r="E23" s="24">
        <f>IF(D23="","",VALUE(RIGHT(D23,4)))</f>
        <v/>
      </c>
      <c r="F23" s="24" t="n">
        <v>2</v>
      </c>
      <c r="G23" s="24" t="inlineStr">
        <is>
          <t>SLP</t>
        </is>
      </c>
      <c r="H23" s="24" t="inlineStr">
        <is>
          <t>Individual</t>
        </is>
      </c>
      <c r="I23" s="24" t="inlineStr">
        <is>
          <t>Other</t>
        </is>
      </c>
      <c r="J23" s="24" t="inlineStr">
        <is>
          <t>Mixed or unclear</t>
        </is>
      </c>
      <c r="K23" s="24" t="inlineStr">
        <is>
          <t>Art. 136; integrity of adjudication (AI-generated fake precedents)</t>
        </is>
      </c>
      <c r="L23" s="24" t="inlineStr">
        <is>
          <t>What accountability follows when a trial court relies on non-existent, AI-generated judgments?</t>
        </is>
      </c>
      <c r="M23" s="24" t="inlineStr">
        <is>
          <t>Court took cognizance, issued notice and appointed Sr Adv Shyam Divan as amicus; later (May 2026) asked the BCI to form an expert committee.</t>
        </is>
      </c>
      <c r="N23" s="24" t="inlineStr">
        <is>
          <t>None; the order records that the four 'precedents' relied on did not exist</t>
        </is>
      </c>
      <c r="O23" s="24" t="inlineStr">
        <is>
          <t>https://www.scconline.com/blog/post/2026/03/11/sc-raises-concern-use-ai-generated-fake-precedents/</t>
        </is>
      </c>
    </row>
    <row r="24" ht="63.75" customHeight="1" s="18">
      <c r="A24" s="24" t="n">
        <v>19</v>
      </c>
      <c r="B24" s="24" t="inlineStr">
        <is>
          <t>Pune Bar Association v. Union of India</t>
        </is>
      </c>
      <c r="C24" s="24" t="inlineStr">
        <is>
          <t>2026 SCC OnLine SC 1297; W.P.(C) No. 599 of 2026</t>
        </is>
      </c>
      <c r="D24" s="24" t="inlineStr">
        <is>
          <t>22-05-2026</t>
        </is>
      </c>
      <c r="E24" s="24">
        <f>IF(D24="","",VALUE(RIGHT(D24,4)))</f>
        <v/>
      </c>
      <c r="F24" s="24" t="n">
        <v>3</v>
      </c>
      <c r="G24" s="24" t="inlineStr">
        <is>
          <t>Writ petition</t>
        </is>
      </c>
      <c r="H24" s="24" t="inlineStr">
        <is>
          <t>Association or NGO</t>
        </is>
      </c>
      <c r="I24" s="24" t="inlineStr">
        <is>
          <t>Dismissed</t>
        </is>
      </c>
      <c r="J24" s="24" t="inlineStr">
        <is>
          <t>State or public body</t>
        </is>
      </c>
      <c r="K24" s="24" t="inlineStr">
        <is>
          <t>Bharatiya Sakshya Adhiniyam 2023 s 63(4) (certificate for electronic records)</t>
        </is>
      </c>
      <c r="L24" s="24" t="inlineStr">
        <is>
          <t>Is the hash-value and expert-certificate requirement for electronic evidence arbitrary in the age of AI and deepfakes?</t>
        </is>
      </c>
      <c r="M24" s="24" t="inlineStr">
        <is>
          <t>Challenge not entertained; requirement has a rational nexus with the Act's object and is not manifestly arbitrary.</t>
        </is>
      </c>
      <c r="N24" s="24" t="inlineStr">
        <is>
          <t>Not identified</t>
        </is>
      </c>
      <c r="O24" s="24" t="inlineStr">
        <is>
          <t>https://ijlmh.com/article/view/deepfakes-ai-generated-evidence-indian-criminal-trials</t>
        </is>
      </c>
    </row>
    <row r="25" ht="63.75" customHeight="1" s="18">
      <c r="A25" s="24" t="n">
        <v>20</v>
      </c>
      <c r="B25" s="24" t="inlineStr">
        <is>
          <t>Pooja Ramesh Singh v. Jammu and Kashmir Bank Ltd.</t>
        </is>
      </c>
      <c r="C25" s="24" t="inlineStr">
        <is>
          <t>2026 INSC 668 (also 2026 SCC OnLine SC 1258)</t>
        </is>
      </c>
      <c r="D25" s="24" t="inlineStr">
        <is>
          <t>02-07-2026</t>
        </is>
      </c>
      <c r="E25" s="24">
        <f>IF(D25="","",VALUE(RIGHT(D25,4)))</f>
        <v/>
      </c>
      <c r="F25" s="24" t="n">
        <v>2</v>
      </c>
      <c r="G25" s="24" t="inlineStr">
        <is>
          <t>Civil appeal</t>
        </is>
      </c>
      <c r="H25" s="24" t="inlineStr">
        <is>
          <t>Individual</t>
        </is>
      </c>
      <c r="I25" s="24" t="inlineStr">
        <is>
          <t>Allowed</t>
        </is>
      </c>
      <c r="J25" s="24" t="inlineStr">
        <is>
          <t>Individual</t>
        </is>
      </c>
      <c r="K25" s="24" t="inlineStr">
        <is>
          <t>Insolvency and Bankruptcy Code 2016 s 7; Advocates Act 1961 (misconduct)</t>
        </is>
      </c>
      <c r="L25" s="24" t="inlineStr">
        <is>
          <t>Is an NCLT/NCLAT order valid if it relies on AI-generated, non-existent precedents?</t>
        </is>
      </c>
      <c r="M25" s="24" t="inlineStr">
        <is>
          <t>No; such reliance vitiates the decision, so orders were set aside; citing unverified AI judgments is advocate misconduct; BCI to frame norms.</t>
        </is>
      </c>
      <c r="N25" s="24" t="inlineStr">
        <is>
          <t>None; the issue was reliance on non-existent precedents</t>
        </is>
      </c>
      <c r="O25" s="24" t="inlineStr">
        <is>
          <t>https://www.scconline.com/blog/post/2026/07/03/supreme-court-on-ai-hallucinated-judgments-and-fake-citations/</t>
        </is>
      </c>
    </row>
  </sheetData>
  <dataValidations count="4">
    <dataValidation sqref="G6:G25" showDropDown="0" showInputMessage="0" showErrorMessage="0" allowBlank="1" type="list" errorStyle="stop" operator="between">
      <formula1>Vocabularies!$A$3:$A$7</formula1>
      <formula2>0</formula2>
    </dataValidation>
    <dataValidation sqref="H6:H25" showDropDown="0" showInputMessage="0" showErrorMessage="0" allowBlank="1" type="list" errorStyle="stop" operator="between">
      <formula1>Vocabularies!$B$3:$B$7</formula1>
      <formula2>0</formula2>
    </dataValidation>
    <dataValidation sqref="I6:I25" showDropDown="0" showInputMessage="0" showErrorMessage="0" allowBlank="1" type="list" errorStyle="stop" operator="between">
      <formula1>Vocabularies!$C$3:$C$6</formula1>
      <formula2>0</formula2>
    </dataValidation>
    <dataValidation sqref="J6:J25" showDropDown="0" showInputMessage="0" showErrorMessage="0" allowBlank="1" type="list" errorStyle="stop" operator="between">
      <formula1>Vocabularies!$D$3:$D$7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A8BA8"/>
    <outlinePr summaryBelow="1" summaryRight="1"/>
    <pageSetUpPr fitToPage="0"/>
  </sheetPr>
  <dimension ref="A1:B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7" min="1" max="1"/>
    <col width="12" customWidth="1" style="17" min="2" max="2"/>
  </cols>
  <sheetData>
    <row r="1" ht="15" customHeight="1" s="18">
      <c r="A1" s="28" t="inlineStr">
        <is>
          <t>Counts for your charts (these update automatically from the Data sheet)</t>
        </is>
      </c>
    </row>
    <row r="2" ht="15" customHeight="1" s="18">
      <c r="A2" s="25" t="inlineStr">
        <is>
          <t>Select a table below, then Insert &gt; Chart in Excel or Google Sheets. Save each chart as PNG.</t>
        </is>
      </c>
    </row>
    <row r="4" ht="15" customHeight="1" s="18">
      <c r="A4" s="29" t="inlineStr">
        <is>
          <t>Year</t>
        </is>
      </c>
      <c r="B4" s="29" t="inlineStr">
        <is>
          <t>Judgments</t>
        </is>
      </c>
    </row>
    <row r="5" ht="15" customHeight="1" s="18">
      <c r="A5" s="30" t="n">
        <v>2021</v>
      </c>
      <c r="B5" s="31">
        <f>COUNTIF(Data!$E$6:$E$25,A5)</f>
        <v/>
      </c>
    </row>
    <row r="6" ht="15" customHeight="1" s="18">
      <c r="A6" s="30" t="n">
        <v>2022</v>
      </c>
      <c r="B6" s="31">
        <f>COUNTIF(Data!$E$6:$E$25,A6)</f>
        <v/>
      </c>
    </row>
    <row r="7" ht="15" customHeight="1" s="18">
      <c r="A7" s="30" t="n">
        <v>2023</v>
      </c>
      <c r="B7" s="31">
        <f>COUNTIF(Data!$E$6:$E$25,A7)</f>
        <v/>
      </c>
    </row>
    <row r="8" ht="15" customHeight="1" s="18">
      <c r="A8" s="30" t="n">
        <v>2024</v>
      </c>
      <c r="B8" s="31">
        <f>COUNTIF(Data!$E$6:$E$25,A8)</f>
        <v/>
      </c>
    </row>
    <row r="9" ht="15" customHeight="1" s="18">
      <c r="A9" s="30" t="n">
        <v>2025</v>
      </c>
      <c r="B9" s="31">
        <f>COUNTIF(Data!$E$6:$E$25,A9)</f>
        <v/>
      </c>
    </row>
    <row r="10" ht="15" customHeight="1" s="18">
      <c r="A10" s="30" t="n">
        <v>2026</v>
      </c>
      <c r="B10" s="31">
        <f>COUNTIF(Data!$E$6:$E$25,A10)</f>
        <v/>
      </c>
    </row>
    <row r="12" ht="15" customHeight="1" s="18">
      <c r="A12" s="29" t="inlineStr">
        <is>
          <t>Outcome</t>
        </is>
      </c>
      <c r="B12" s="29" t="inlineStr">
        <is>
          <t>Judgments</t>
        </is>
      </c>
    </row>
    <row r="13" ht="15" customHeight="1" s="18">
      <c r="A13" s="31" t="inlineStr">
        <is>
          <t>Allowed</t>
        </is>
      </c>
      <c r="B13" s="31">
        <f>COUNTIF(Data!$I$6:$I$25,A13)</f>
        <v/>
      </c>
    </row>
    <row r="14" ht="15" customHeight="1" s="18">
      <c r="A14" s="31" t="inlineStr">
        <is>
          <t>Dismissed</t>
        </is>
      </c>
      <c r="B14" s="31">
        <f>COUNTIF(Data!$I$6:$I$25,A14)</f>
        <v/>
      </c>
    </row>
    <row r="15" ht="15" customHeight="1" s="18">
      <c r="A15" s="31" t="inlineStr">
        <is>
          <t>Partly allowed</t>
        </is>
      </c>
      <c r="B15" s="31">
        <f>COUNTIF(Data!$I$6:$I$25,A15)</f>
        <v/>
      </c>
    </row>
    <row r="16" ht="15" customHeight="1" s="18">
      <c r="A16" s="31" t="inlineStr">
        <is>
          <t>Other</t>
        </is>
      </c>
      <c r="B16" s="31">
        <f>COUNTIF(Data!$I$6:$I$25,A16)</f>
        <v/>
      </c>
    </row>
    <row r="18" ht="15" customHeight="1" s="18">
      <c r="A18" s="29" t="inlineStr">
        <is>
          <t>Who brought the case</t>
        </is>
      </c>
      <c r="B18" s="29" t="inlineStr">
        <is>
          <t>Judgments</t>
        </is>
      </c>
    </row>
    <row r="19" ht="15" customHeight="1" s="18">
      <c r="A19" s="31" t="inlineStr">
        <is>
          <t>Individual</t>
        </is>
      </c>
      <c r="B19" s="31">
        <f>COUNTIF(Data!$H$6:$H$25,A19)</f>
        <v/>
      </c>
    </row>
    <row r="20" ht="15" customHeight="1" s="18">
      <c r="A20" s="31" t="inlineStr">
        <is>
          <t>Company</t>
        </is>
      </c>
      <c r="B20" s="31">
        <f>COUNTIF(Data!$H$6:$H$25,A20)</f>
        <v/>
      </c>
    </row>
    <row r="21" ht="15" customHeight="1" s="18">
      <c r="A21" s="31" t="inlineStr">
        <is>
          <t>State or public body</t>
        </is>
      </c>
      <c r="B21" s="31">
        <f>COUNTIF(Data!$H$6:$H$25,A21)</f>
        <v/>
      </c>
    </row>
    <row r="22" ht="15" customHeight="1" s="18">
      <c r="A22" s="31" t="inlineStr">
        <is>
          <t>Association or NGO</t>
        </is>
      </c>
      <c r="B22" s="31">
        <f>COUNTIF(Data!$H$6:$H$25,A22)</f>
        <v/>
      </c>
    </row>
    <row r="23" ht="15" customHeight="1" s="18">
      <c r="A23" s="31" t="inlineStr">
        <is>
          <t>Other</t>
        </is>
      </c>
      <c r="B23" s="31">
        <f>COUNTIF(Data!$H$6:$H$25,A23)</f>
        <v/>
      </c>
    </row>
    <row r="25" ht="15" customHeight="1" s="18">
      <c r="A25" s="29" t="inlineStr">
        <is>
          <t>Who won</t>
        </is>
      </c>
      <c r="B25" s="29" t="inlineStr">
        <is>
          <t>Judgments</t>
        </is>
      </c>
    </row>
    <row r="26" ht="15" customHeight="1" s="18">
      <c r="A26" s="31" t="inlineStr">
        <is>
          <t>Individual</t>
        </is>
      </c>
      <c r="B26" s="31">
        <f>COUNTIF(Data!$J$6:$J$25,A26)</f>
        <v/>
      </c>
    </row>
    <row r="27" ht="15" customHeight="1" s="18">
      <c r="A27" s="31" t="inlineStr">
        <is>
          <t>Company</t>
        </is>
      </c>
      <c r="B27" s="31">
        <f>COUNTIF(Data!$J$6:$J$25,A27)</f>
        <v/>
      </c>
    </row>
    <row r="28" ht="15" customHeight="1" s="18">
      <c r="A28" s="31" t="inlineStr">
        <is>
          <t>State or public body</t>
        </is>
      </c>
      <c r="B28" s="31">
        <f>COUNTIF(Data!$J$6:$J$25,A28)</f>
        <v/>
      </c>
    </row>
    <row r="29" ht="15" customHeight="1" s="18">
      <c r="A29" s="31" t="inlineStr">
        <is>
          <t>Association or NGO</t>
        </is>
      </c>
      <c r="B29" s="31">
        <f>COUNTIF(Data!$J$6:$J$25,A29)</f>
        <v/>
      </c>
    </row>
    <row r="30" ht="15" customHeight="1" s="18">
      <c r="A30" s="31" t="inlineStr">
        <is>
          <t>Mixed or unclear</t>
        </is>
      </c>
      <c r="B30" s="31">
        <f>COUNTIF(Data!$J$6:$J$25,A30)</f>
        <v/>
      </c>
    </row>
    <row r="32" ht="15" customHeight="1" s="18">
      <c r="A32" s="29" t="inlineStr">
        <is>
          <t>Type of case</t>
        </is>
      </c>
      <c r="B32" s="29" t="inlineStr">
        <is>
          <t>Judgments</t>
        </is>
      </c>
    </row>
    <row r="33" ht="15" customHeight="1" s="18">
      <c r="A33" s="31" t="inlineStr">
        <is>
          <t>Writ petition</t>
        </is>
      </c>
      <c r="B33" s="31">
        <f>COUNTIF(Data!$G$6:$G$25,A33)</f>
        <v/>
      </c>
    </row>
    <row r="34" ht="15" customHeight="1" s="18">
      <c r="A34" s="31" t="inlineStr">
        <is>
          <t>Civil appeal</t>
        </is>
      </c>
      <c r="B34" s="31">
        <f>COUNTIF(Data!$G$6:$G$25,A34)</f>
        <v/>
      </c>
    </row>
    <row r="35" ht="15" customHeight="1" s="18">
      <c r="A35" s="31" t="inlineStr">
        <is>
          <t>Criminal appeal</t>
        </is>
      </c>
      <c r="B35" s="31">
        <f>COUNTIF(Data!$G$6:$G$25,A35)</f>
        <v/>
      </c>
    </row>
    <row r="36" ht="15" customHeight="1" s="18">
      <c r="A36" s="31" t="inlineStr">
        <is>
          <t>SLP</t>
        </is>
      </c>
      <c r="B36" s="31">
        <f>COUNTIF(Data!$G$6:$G$25,A36)</f>
        <v/>
      </c>
    </row>
    <row r="37" ht="15" customHeight="1" s="18">
      <c r="A37" s="31" t="inlineStr">
        <is>
          <t>Other</t>
        </is>
      </c>
      <c r="B37" s="31">
        <f>COUNTIF(Data!$G$6:$G$25,A37)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A8BA8"/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7" min="1" max="4"/>
  </cols>
  <sheetData>
    <row r="1" ht="15" customHeight="1" s="18">
      <c r="A1" s="28" t="inlineStr">
        <is>
          <t>Lists used by the dropdowns (do not edit)</t>
        </is>
      </c>
    </row>
    <row r="2" ht="15" customHeight="1" s="18">
      <c r="A2" s="29" t="inlineStr">
        <is>
          <t>Type of case</t>
        </is>
      </c>
      <c r="B2" s="29" t="inlineStr">
        <is>
          <t>Who brought the case</t>
        </is>
      </c>
      <c r="C2" s="29" t="inlineStr">
        <is>
          <t>Outcome</t>
        </is>
      </c>
      <c r="D2" s="29" t="inlineStr">
        <is>
          <t>Who won</t>
        </is>
      </c>
    </row>
    <row r="3" ht="15" customHeight="1" s="18">
      <c r="A3" s="32" t="inlineStr">
        <is>
          <t>Writ petition</t>
        </is>
      </c>
      <c r="B3" s="32" t="inlineStr">
        <is>
          <t>Individual</t>
        </is>
      </c>
      <c r="C3" s="32" t="inlineStr">
        <is>
          <t>Allowed</t>
        </is>
      </c>
      <c r="D3" s="32" t="inlineStr">
        <is>
          <t>Individual</t>
        </is>
      </c>
    </row>
    <row r="4" ht="15" customHeight="1" s="18">
      <c r="A4" s="32" t="inlineStr">
        <is>
          <t>Civil appeal</t>
        </is>
      </c>
      <c r="B4" s="32" t="inlineStr">
        <is>
          <t>Company</t>
        </is>
      </c>
      <c r="C4" s="32" t="inlineStr">
        <is>
          <t>Dismissed</t>
        </is>
      </c>
      <c r="D4" s="32" t="inlineStr">
        <is>
          <t>Company</t>
        </is>
      </c>
    </row>
    <row r="5" ht="15" customHeight="1" s="18">
      <c r="A5" s="32" t="inlineStr">
        <is>
          <t>Criminal appeal</t>
        </is>
      </c>
      <c r="B5" s="32" t="inlineStr">
        <is>
          <t>State or public body</t>
        </is>
      </c>
      <c r="C5" s="32" t="inlineStr">
        <is>
          <t>Partly allowed</t>
        </is>
      </c>
      <c r="D5" s="32" t="inlineStr">
        <is>
          <t>State or public body</t>
        </is>
      </c>
    </row>
    <row r="6" ht="15" customHeight="1" s="18">
      <c r="A6" s="32" t="inlineStr">
        <is>
          <t>SLP</t>
        </is>
      </c>
      <c r="B6" s="32" t="inlineStr">
        <is>
          <t>Association or NGO</t>
        </is>
      </c>
      <c r="C6" s="32" t="inlineStr">
        <is>
          <t>Other</t>
        </is>
      </c>
      <c r="D6" s="32" t="inlineStr">
        <is>
          <t>Association or NGO</t>
        </is>
      </c>
    </row>
    <row r="7" ht="15" customHeight="1" s="18">
      <c r="A7" s="32" t="inlineStr">
        <is>
          <t>Other</t>
        </is>
      </c>
      <c r="B7" s="32" t="inlineStr">
        <is>
          <t>Other</t>
        </is>
      </c>
      <c r="D7" s="32" t="inlineStr">
        <is>
          <t>Mixed or unclear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2026-10-30T04:54:20Z</dcterms:created>
  <dcterms:modified xmlns:dcterms="http://purl.org/dc/terms/" xmlns:xsi="http://www.w3.org/2001/XMLSchema-instance" xsi:type="dcterms:W3CDTF">2026-10-30T05:14:08Z</dcterms:modified>
  <cp:revision>0</cp:revision>
</cp:coreProperties>
</file>